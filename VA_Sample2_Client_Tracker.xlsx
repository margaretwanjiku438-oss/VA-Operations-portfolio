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8430"/>
  </bookViews>
  <sheets>
    <sheet name="Client Tracker" sheetId="1" r:id="rId1"/>
    <sheet name="Task Tracker" sheetId="2" r:id="rId2"/>
    <sheet name="Invoice Tracker" sheetId="3" r:id="rId3"/>
  </sheets>
  <calcPr calcId="152511"/>
</workbook>
</file>

<file path=xl/calcChain.xml><?xml version="1.0" encoding="utf-8"?>
<calcChain xmlns="http://schemas.openxmlformats.org/spreadsheetml/2006/main">
  <c r="G15" i="2" l="1"/>
  <c r="F15" i="2"/>
  <c r="H13" i="1"/>
  <c r="G13" i="1"/>
</calcChain>
</file>

<file path=xl/sharedStrings.xml><?xml version="1.0" encoding="utf-8"?>
<sst xmlns="http://schemas.openxmlformats.org/spreadsheetml/2006/main" count="282" uniqueCount="180">
  <si>
    <t>CLIENT RELATIONSHIP TRACKER</t>
  </si>
  <si>
    <t>Prepared by: Margaret Wanjiku | Virtual Assistant | margaretwanjiku438@gmail.com</t>
  </si>
  <si>
    <t>CLIENT ID</t>
  </si>
  <si>
    <t>CLIENT NAME</t>
  </si>
  <si>
    <t>COMPANY</t>
  </si>
  <si>
    <t>EMAIL</t>
  </si>
  <si>
    <t>PHONE</t>
  </si>
  <si>
    <t>SERVICE TYPE</t>
  </si>
  <si>
    <t>CONTRACT VALUE ($)</t>
  </si>
  <si>
    <t>START DATE</t>
  </si>
  <si>
    <t>NEXT FOLLOW UP</t>
  </si>
  <si>
    <t>STATUS</t>
  </si>
  <si>
    <t>NOTES</t>
  </si>
  <si>
    <t>CLT-001</t>
  </si>
  <si>
    <t>Sarah Johnson</t>
  </si>
  <si>
    <t>TechStart Ltd</t>
  </si>
  <si>
    <t>sarah@techstart.com</t>
  </si>
  <si>
    <t>+1 555 0101</t>
  </si>
  <si>
    <t>Executive VA</t>
  </si>
  <si>
    <t>1,500</t>
  </si>
  <si>
    <t>Jan 2026</t>
  </si>
  <si>
    <t>Aug 1, 2026</t>
  </si>
  <si>
    <t>Active</t>
  </si>
  <si>
    <t>Monthly retainer — 20hrs</t>
  </si>
  <si>
    <t>CLT-002</t>
  </si>
  <si>
    <t>Michael Brown</t>
  </si>
  <si>
    <t>Brown &amp; Co</t>
  </si>
  <si>
    <t>mbrown@brownco.com</t>
  </si>
  <si>
    <t>+1 555 0202</t>
  </si>
  <si>
    <t>Data Entry</t>
  </si>
  <si>
    <t>800</t>
  </si>
  <si>
    <t>Mar 2026</t>
  </si>
  <si>
    <t>Aug 5, 2026</t>
  </si>
  <si>
    <t>Weekly data entry tasks</t>
  </si>
  <si>
    <t>CLT-003</t>
  </si>
  <si>
    <t>Amanda Lee</t>
  </si>
  <si>
    <t>Lee Consulting</t>
  </si>
  <si>
    <t>amanda@leeconsult.com</t>
  </si>
  <si>
    <t>+1 555 0303</t>
  </si>
  <si>
    <t>Operations VA</t>
  </si>
  <si>
    <t>2,200</t>
  </si>
  <si>
    <t>Feb 2026</t>
  </si>
  <si>
    <t>Jul 30, 2026</t>
  </si>
  <si>
    <t>Ongoing ops support</t>
  </si>
  <si>
    <t>CLT-004</t>
  </si>
  <si>
    <t>James Wilson</t>
  </si>
  <si>
    <t>Wilson Media</t>
  </si>
  <si>
    <t>jwilson@wilsonmedia.com</t>
  </si>
  <si>
    <t>+1 555 0404</t>
  </si>
  <si>
    <t>Social Media VA</t>
  </si>
  <si>
    <t>600</t>
  </si>
  <si>
    <t>Apr 2026</t>
  </si>
  <si>
    <t>Aug 10, 2026</t>
  </si>
  <si>
    <t>Paused</t>
  </si>
  <si>
    <t>On hold — client travelling</t>
  </si>
  <si>
    <t>CLT-005</t>
  </si>
  <si>
    <t>Grace Odhiambo</t>
  </si>
  <si>
    <t>GO Enterprises</t>
  </si>
  <si>
    <t>grace@goent.co.ke</t>
  </si>
  <si>
    <t>+254 722 111</t>
  </si>
  <si>
    <t>Admin Support</t>
  </si>
  <si>
    <t>1,000</t>
  </si>
  <si>
    <t>May 2026</t>
  </si>
  <si>
    <t>Aug 3, 2026</t>
  </si>
  <si>
    <t>Email + calendar management</t>
  </si>
  <si>
    <t>CLT-006</t>
  </si>
  <si>
    <t>David Chen</t>
  </si>
  <si>
    <t>Chen Imports</t>
  </si>
  <si>
    <t>dchen@chenimports.com</t>
  </si>
  <si>
    <t>+1 555 0606</t>
  </si>
  <si>
    <t>CRM Management</t>
  </si>
  <si>
    <t>1,200</t>
  </si>
  <si>
    <t>Jun 2026</t>
  </si>
  <si>
    <t>Aug 7, 2026</t>
  </si>
  <si>
    <t>ZOHO CRM updates weekly</t>
  </si>
  <si>
    <t>CLT-007</t>
  </si>
  <si>
    <t>Fatima Al-Hassan</t>
  </si>
  <si>
    <t>FH Trading</t>
  </si>
  <si>
    <t>fatima@fhtrading.com</t>
  </si>
  <si>
    <t>+971 50 111</t>
  </si>
  <si>
    <t>1,800</t>
  </si>
  <si>
    <t>Jul 2026</t>
  </si>
  <si>
    <t>Aug 15, 2026</t>
  </si>
  <si>
    <t>Onboarding</t>
  </si>
  <si>
    <t>New client — setup phase</t>
  </si>
  <si>
    <t>CLT-008</t>
  </si>
  <si>
    <t>Robert Kimani</t>
  </si>
  <si>
    <t>Kimani &amp; Sons</t>
  </si>
  <si>
    <t>rkimani@kimanisons.co.ke</t>
  </si>
  <si>
    <t>+254 733 222</t>
  </si>
  <si>
    <t>500</t>
  </si>
  <si>
    <t>—</t>
  </si>
  <si>
    <t>Completed</t>
  </si>
  <si>
    <t>Project completed Mar 2026</t>
  </si>
  <si>
    <t>SUMMARY</t>
  </si>
  <si>
    <t>WEEKLY TASK TRACKER</t>
  </si>
  <si>
    <t>Week of: July 28 – August 1, 2026  |  VA: Margaret Wanjiku</t>
  </si>
  <si>
    <t>TASK ID</t>
  </si>
  <si>
    <t>CLIENT</t>
  </si>
  <si>
    <t>TASK DESCRIPTION</t>
  </si>
  <si>
    <t>PRIORITY</t>
  </si>
  <si>
    <t>DUE DATE</t>
  </si>
  <si>
    <t>EST. HOURS</t>
  </si>
  <si>
    <t>ACTUAL HOURS</t>
  </si>
  <si>
    <t>TSK-001</t>
  </si>
  <si>
    <t>Prepare weekly executive briefing</t>
  </si>
  <si>
    <t>🔴 High</t>
  </si>
  <si>
    <t>Jul 28</t>
  </si>
  <si>
    <t>1.0</t>
  </si>
  <si>
    <t>✅ Done</t>
  </si>
  <si>
    <t>TSK-002</t>
  </si>
  <si>
    <t>Update CRM contact records</t>
  </si>
  <si>
    <t>2.0</t>
  </si>
  <si>
    <t>2.5</t>
  </si>
  <si>
    <t>TSK-003</t>
  </si>
  <si>
    <t>Data entry — invoice spreadsheet</t>
  </si>
  <si>
    <t>🟡 Medium</t>
  </si>
  <si>
    <t>Jul 29</t>
  </si>
  <si>
    <t>3.0</t>
  </si>
  <si>
    <t>⏳ In Progress</t>
  </si>
  <si>
    <t>TSK-004</t>
  </si>
  <si>
    <t>Calendar management — August schedule</t>
  </si>
  <si>
    <t>1.5</t>
  </si>
  <si>
    <t>TSK-005</t>
  </si>
  <si>
    <t>ZOHO CRM weekly pipeline update</t>
  </si>
  <si>
    <t>Jul 30</t>
  </si>
  <si>
    <t>🔲 Not Started</t>
  </si>
  <si>
    <t>TSK-006</t>
  </si>
  <si>
    <t>Draft client proposal document</t>
  </si>
  <si>
    <t>TSK-007</t>
  </si>
  <si>
    <t>Schedule August board meetings</t>
  </si>
  <si>
    <t>Jul 31</t>
  </si>
  <si>
    <t>TSK-008</t>
  </si>
  <si>
    <t>New client onboarding — setup ZOHO</t>
  </si>
  <si>
    <t>Aug 1</t>
  </si>
  <si>
    <t>TSK-009</t>
  </si>
  <si>
    <t>Weekly data summary report</t>
  </si>
  <si>
    <t>🟢 Low</t>
  </si>
  <si>
    <t>TSK-010</t>
  </si>
  <si>
    <t>All Clients</t>
  </si>
  <si>
    <t>Send weekly progress updates</t>
  </si>
  <si>
    <t>TOTALS</t>
  </si>
  <si>
    <t>INVOICE &amp; PAYMENT TRACKER</t>
  </si>
  <si>
    <t>VA: Margaret Wanjiku  |  margaretwanjiku438@gmail.com  |  July 2026</t>
  </si>
  <si>
    <t>INVOICE #</t>
  </si>
  <si>
    <t>SERVICE</t>
  </si>
  <si>
    <t>INVOICE DATE</t>
  </si>
  <si>
    <t>AMOUNT ($)</t>
  </si>
  <si>
    <t>PAID ($)</t>
  </si>
  <si>
    <t>BALANCE ($)</t>
  </si>
  <si>
    <t>INV-2026-001</t>
  </si>
  <si>
    <t>Executive VA — June</t>
  </si>
  <si>
    <t>Jun 30, 2026</t>
  </si>
  <si>
    <t>Jul 15, 2026</t>
  </si>
  <si>
    <t>0</t>
  </si>
  <si>
    <t>✅ Paid</t>
  </si>
  <si>
    <t>INV-2026-002</t>
  </si>
  <si>
    <t>Data Entry — June</t>
  </si>
  <si>
    <t>INV-2026-003</t>
  </si>
  <si>
    <t>Operations VA — June</t>
  </si>
  <si>
    <t>INV-2026-004</t>
  </si>
  <si>
    <t>Social Media — June</t>
  </si>
  <si>
    <t>⚠️ Overdue</t>
  </si>
  <si>
    <t>INV-2026-005</t>
  </si>
  <si>
    <t>Admin Support — June</t>
  </si>
  <si>
    <t>INV-2026-006</t>
  </si>
  <si>
    <t>CRM Management — June</t>
  </si>
  <si>
    <t>⏳ Partial</t>
  </si>
  <si>
    <t>INV-2026-007</t>
  </si>
  <si>
    <t>Executive VA — July</t>
  </si>
  <si>
    <t>Jul 31, 2026</t>
  </si>
  <si>
    <t>🔲 Pending</t>
  </si>
  <si>
    <t>INV-2026-008</t>
  </si>
  <si>
    <t>Operations VA — July</t>
  </si>
  <si>
    <t>INV-2026-009</t>
  </si>
  <si>
    <t>Onboarding Setup</t>
  </si>
  <si>
    <t>TOTAL:</t>
  </si>
  <si>
    <t>11,500</t>
  </si>
  <si>
    <t>6,100</t>
  </si>
  <si>
    <t>5,400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</si>
</sst>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0D6E6E"/>
      </patternFill>
    </fill>
    <fill>
      <patternFill patternType="solid">
        <fgColor rgb="FFE8F5F5"/>
      </patternFill>
    </fill>
    <fill>
      <patternFill patternType="solid">
        <fgColor rgb="FFF5F5F5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FF3E0"/>
      </patternFill>
    </fill>
    <fill>
      <patternFill patternType="solid">
        <fgColor rgb="FFFFF9C4"/>
      </patternFill>
    </fill>
    <fill>
      <patternFill patternType="solid">
        <fgColor rgb="FFFFEBE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6" fillId="3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pane ySplit="4" topLeftCell="A5" activePane="bottomLeft" state="frozen"/>
      <selection pane="bottomLeft" sqref="A1:K1"/>
    </sheetView>
  </sheetViews>
  <sheetFormatPr defaultRowHeight="14.5" x14ac:dyDescent="0.35"/>
  <cols>
    <col min="1" max="1" width="10" customWidth="1"/>
    <col min="2" max="3" width="18" customWidth="1"/>
    <col min="4" max="4" width="25" customWidth="1"/>
    <col min="5" max="5" width="16" customWidth="1"/>
    <col min="6" max="6" width="18" customWidth="1"/>
    <col min="7" max="7" width="16" customWidth="1"/>
    <col min="8" max="8" width="12" customWidth="1"/>
    <col min="9" max="9" width="14" customWidth="1"/>
    <col min="10" max="10" width="12" customWidth="1"/>
    <col min="11" max="11" width="28" customWidth="1"/>
  </cols>
  <sheetData>
    <row r="1" spans="1:11" ht="36" customHeight="1" x14ac:dyDescent="0.35">
      <c r="A1" s="20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20" customHeight="1" x14ac:dyDescent="0.3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8" customHeight="1" x14ac:dyDescent="0.35"/>
    <row r="4" spans="1:11" ht="28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t="22" customHeight="1" x14ac:dyDescent="0.35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3" t="s">
        <v>22</v>
      </c>
      <c r="K5" s="2" t="s">
        <v>23</v>
      </c>
    </row>
    <row r="6" spans="1:11" ht="22" customHeight="1" x14ac:dyDescent="0.35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3" t="s">
        <v>22</v>
      </c>
      <c r="K6" s="4" t="s">
        <v>33</v>
      </c>
    </row>
    <row r="7" spans="1:11" ht="22" customHeight="1" x14ac:dyDescent="0.35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41</v>
      </c>
      <c r="I7" s="2" t="s">
        <v>42</v>
      </c>
      <c r="J7" s="3" t="s">
        <v>22</v>
      </c>
      <c r="K7" s="2" t="s">
        <v>43</v>
      </c>
    </row>
    <row r="8" spans="1:11" ht="22" customHeight="1" x14ac:dyDescent="0.35">
      <c r="A8" s="4" t="s">
        <v>44</v>
      </c>
      <c r="B8" s="4" t="s">
        <v>45</v>
      </c>
      <c r="C8" s="4" t="s">
        <v>46</v>
      </c>
      <c r="D8" s="4" t="s">
        <v>47</v>
      </c>
      <c r="E8" s="4" t="s">
        <v>48</v>
      </c>
      <c r="F8" s="4" t="s">
        <v>49</v>
      </c>
      <c r="G8" s="4" t="s">
        <v>50</v>
      </c>
      <c r="H8" s="4" t="s">
        <v>51</v>
      </c>
      <c r="I8" s="4" t="s">
        <v>52</v>
      </c>
      <c r="J8" s="5" t="s">
        <v>53</v>
      </c>
      <c r="K8" s="4" t="s">
        <v>54</v>
      </c>
    </row>
    <row r="9" spans="1:11" ht="22" customHeight="1" x14ac:dyDescent="0.35">
      <c r="A9" s="2" t="s">
        <v>55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62</v>
      </c>
      <c r="I9" s="2" t="s">
        <v>63</v>
      </c>
      <c r="J9" s="3" t="s">
        <v>22</v>
      </c>
      <c r="K9" s="2" t="s">
        <v>64</v>
      </c>
    </row>
    <row r="10" spans="1:11" ht="22" customHeight="1" x14ac:dyDescent="0.35">
      <c r="A10" s="4" t="s">
        <v>65</v>
      </c>
      <c r="B10" s="4" t="s">
        <v>66</v>
      </c>
      <c r="C10" s="4" t="s">
        <v>67</v>
      </c>
      <c r="D10" s="4" t="s">
        <v>68</v>
      </c>
      <c r="E10" s="4" t="s">
        <v>69</v>
      </c>
      <c r="F10" s="4" t="s">
        <v>70</v>
      </c>
      <c r="G10" s="4" t="s">
        <v>71</v>
      </c>
      <c r="H10" s="4" t="s">
        <v>72</v>
      </c>
      <c r="I10" s="4" t="s">
        <v>73</v>
      </c>
      <c r="J10" s="3" t="s">
        <v>22</v>
      </c>
      <c r="K10" s="4" t="s">
        <v>74</v>
      </c>
    </row>
    <row r="11" spans="1:11" ht="22" customHeight="1" x14ac:dyDescent="0.35">
      <c r="A11" s="2" t="s">
        <v>75</v>
      </c>
      <c r="B11" s="2" t="s">
        <v>76</v>
      </c>
      <c r="C11" s="2" t="s">
        <v>77</v>
      </c>
      <c r="D11" s="2" t="s">
        <v>78</v>
      </c>
      <c r="E11" s="2" t="s">
        <v>79</v>
      </c>
      <c r="F11" s="2" t="s">
        <v>18</v>
      </c>
      <c r="G11" s="2" t="s">
        <v>80</v>
      </c>
      <c r="H11" s="2" t="s">
        <v>81</v>
      </c>
      <c r="I11" s="2" t="s">
        <v>82</v>
      </c>
      <c r="J11" s="6" t="s">
        <v>83</v>
      </c>
      <c r="K11" s="2" t="s">
        <v>84</v>
      </c>
    </row>
    <row r="12" spans="1:11" ht="22" customHeight="1" x14ac:dyDescent="0.35">
      <c r="A12" s="4" t="s">
        <v>85</v>
      </c>
      <c r="B12" s="4" t="s">
        <v>86</v>
      </c>
      <c r="C12" s="4" t="s">
        <v>87</v>
      </c>
      <c r="D12" s="4" t="s">
        <v>88</v>
      </c>
      <c r="E12" s="4" t="s">
        <v>89</v>
      </c>
      <c r="F12" s="4" t="s">
        <v>29</v>
      </c>
      <c r="G12" s="4" t="s">
        <v>90</v>
      </c>
      <c r="H12" s="4" t="s">
        <v>20</v>
      </c>
      <c r="I12" s="4" t="s">
        <v>91</v>
      </c>
      <c r="J12" s="7" t="s">
        <v>92</v>
      </c>
      <c r="K12" s="4" t="s">
        <v>93</v>
      </c>
    </row>
    <row r="13" spans="1:11" x14ac:dyDescent="0.35">
      <c r="A13" s="21" t="s">
        <v>94</v>
      </c>
      <c r="B13" s="19"/>
      <c r="C13" s="19"/>
      <c r="D13" s="19"/>
      <c r="E13" s="19"/>
      <c r="F13" s="19"/>
      <c r="G13" s="8">
        <f>SUMPRODUCT((ISNUMBER(FIND(",",G5:G12)))*1)</f>
        <v>5</v>
      </c>
      <c r="H13" s="9" t="str">
        <f>COUNTIF(J5:J12,"Active") &amp; " Active Clients"</f>
        <v>5 Active Clients</v>
      </c>
    </row>
  </sheetData>
  <mergeCells count="3">
    <mergeCell ref="A2:K2"/>
    <mergeCell ref="A1:K1"/>
    <mergeCell ref="A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4" topLeftCell="A5" activePane="bottomLeft" state="frozen"/>
      <selection pane="bottomLeft" sqref="A1:H1"/>
    </sheetView>
  </sheetViews>
  <sheetFormatPr defaultRowHeight="14.5" x14ac:dyDescent="0.35"/>
  <cols>
    <col min="1" max="1" width="10" customWidth="1"/>
    <col min="2" max="2" width="18" customWidth="1"/>
    <col min="3" max="3" width="32" customWidth="1"/>
    <col min="4" max="6" width="12" customWidth="1"/>
    <col min="7" max="7" width="14" customWidth="1"/>
    <col min="8" max="8" width="16" customWidth="1"/>
  </cols>
  <sheetData>
    <row r="1" spans="1:8" ht="36" customHeight="1" x14ac:dyDescent="0.35">
      <c r="A1" s="20" t="s">
        <v>95</v>
      </c>
      <c r="B1" s="19"/>
      <c r="C1" s="19"/>
      <c r="D1" s="19"/>
      <c r="E1" s="19"/>
      <c r="F1" s="19"/>
      <c r="G1" s="19"/>
      <c r="H1" s="19"/>
    </row>
    <row r="2" spans="1:8" ht="20" customHeight="1" x14ac:dyDescent="0.35">
      <c r="A2" s="18" t="s">
        <v>96</v>
      </c>
      <c r="B2" s="19"/>
      <c r="C2" s="19"/>
      <c r="D2" s="19"/>
      <c r="E2" s="19"/>
      <c r="F2" s="19"/>
      <c r="G2" s="19"/>
      <c r="H2" s="19"/>
    </row>
    <row r="3" spans="1:8" ht="8" customHeight="1" x14ac:dyDescent="0.35"/>
    <row r="4" spans="1:8" ht="28" customHeight="1" x14ac:dyDescent="0.35">
      <c r="A4" s="1" t="s">
        <v>97</v>
      </c>
      <c r="B4" s="1" t="s">
        <v>98</v>
      </c>
      <c r="C4" s="1" t="s">
        <v>99</v>
      </c>
      <c r="D4" s="1" t="s">
        <v>100</v>
      </c>
      <c r="E4" s="1" t="s">
        <v>101</v>
      </c>
      <c r="F4" s="1" t="s">
        <v>102</v>
      </c>
      <c r="G4" s="1" t="s">
        <v>103</v>
      </c>
      <c r="H4" s="1" t="s">
        <v>11</v>
      </c>
    </row>
    <row r="5" spans="1:8" ht="22" customHeight="1" x14ac:dyDescent="0.35">
      <c r="A5" s="7" t="s">
        <v>104</v>
      </c>
      <c r="B5" s="7" t="s">
        <v>14</v>
      </c>
      <c r="C5" s="10" t="s">
        <v>105</v>
      </c>
      <c r="D5" s="7" t="s">
        <v>106</v>
      </c>
      <c r="E5" s="7" t="s">
        <v>107</v>
      </c>
      <c r="F5" s="7" t="s">
        <v>108</v>
      </c>
      <c r="G5" s="7" t="s">
        <v>108</v>
      </c>
      <c r="H5" s="3" t="s">
        <v>109</v>
      </c>
    </row>
    <row r="6" spans="1:8" ht="22" customHeight="1" x14ac:dyDescent="0.35">
      <c r="A6" s="11" t="s">
        <v>110</v>
      </c>
      <c r="B6" s="11" t="s">
        <v>35</v>
      </c>
      <c r="C6" s="12" t="s">
        <v>111</v>
      </c>
      <c r="D6" s="11" t="s">
        <v>106</v>
      </c>
      <c r="E6" s="11" t="s">
        <v>107</v>
      </c>
      <c r="F6" s="11" t="s">
        <v>112</v>
      </c>
      <c r="G6" s="11" t="s">
        <v>113</v>
      </c>
      <c r="H6" s="3" t="s">
        <v>109</v>
      </c>
    </row>
    <row r="7" spans="1:8" ht="22" customHeight="1" x14ac:dyDescent="0.35">
      <c r="A7" s="7" t="s">
        <v>114</v>
      </c>
      <c r="B7" s="7" t="s">
        <v>25</v>
      </c>
      <c r="C7" s="10" t="s">
        <v>115</v>
      </c>
      <c r="D7" s="7" t="s">
        <v>116</v>
      </c>
      <c r="E7" s="7" t="s">
        <v>117</v>
      </c>
      <c r="F7" s="7" t="s">
        <v>118</v>
      </c>
      <c r="G7" s="7"/>
      <c r="H7" s="6" t="s">
        <v>119</v>
      </c>
    </row>
    <row r="8" spans="1:8" ht="22" customHeight="1" x14ac:dyDescent="0.35">
      <c r="A8" s="11" t="s">
        <v>120</v>
      </c>
      <c r="B8" s="11" t="s">
        <v>56</v>
      </c>
      <c r="C8" s="12" t="s">
        <v>121</v>
      </c>
      <c r="D8" s="11" t="s">
        <v>106</v>
      </c>
      <c r="E8" s="11" t="s">
        <v>117</v>
      </c>
      <c r="F8" s="11" t="s">
        <v>122</v>
      </c>
      <c r="G8" s="11"/>
      <c r="H8" s="6" t="s">
        <v>119</v>
      </c>
    </row>
    <row r="9" spans="1:8" ht="22" customHeight="1" x14ac:dyDescent="0.35">
      <c r="A9" s="7" t="s">
        <v>123</v>
      </c>
      <c r="B9" s="7" t="s">
        <v>66</v>
      </c>
      <c r="C9" s="10" t="s">
        <v>124</v>
      </c>
      <c r="D9" s="7" t="s">
        <v>116</v>
      </c>
      <c r="E9" s="7" t="s">
        <v>125</v>
      </c>
      <c r="F9" s="7" t="s">
        <v>112</v>
      </c>
      <c r="G9" s="7"/>
      <c r="H9" s="11" t="s">
        <v>126</v>
      </c>
    </row>
    <row r="10" spans="1:8" ht="22" customHeight="1" x14ac:dyDescent="0.35">
      <c r="A10" s="11" t="s">
        <v>127</v>
      </c>
      <c r="B10" s="11" t="s">
        <v>35</v>
      </c>
      <c r="C10" s="12" t="s">
        <v>128</v>
      </c>
      <c r="D10" s="11" t="s">
        <v>106</v>
      </c>
      <c r="E10" s="11" t="s">
        <v>125</v>
      </c>
      <c r="F10" s="11" t="s">
        <v>118</v>
      </c>
      <c r="G10" s="11"/>
      <c r="H10" s="11" t="s">
        <v>126</v>
      </c>
    </row>
    <row r="11" spans="1:8" ht="22" customHeight="1" x14ac:dyDescent="0.35">
      <c r="A11" s="7" t="s">
        <v>129</v>
      </c>
      <c r="B11" s="7" t="s">
        <v>14</v>
      </c>
      <c r="C11" s="10" t="s">
        <v>130</v>
      </c>
      <c r="D11" s="7" t="s">
        <v>116</v>
      </c>
      <c r="E11" s="7" t="s">
        <v>131</v>
      </c>
      <c r="F11" s="7" t="s">
        <v>108</v>
      </c>
      <c r="G11" s="7"/>
      <c r="H11" s="11" t="s">
        <v>126</v>
      </c>
    </row>
    <row r="12" spans="1:8" ht="22" customHeight="1" x14ac:dyDescent="0.35">
      <c r="A12" s="11" t="s">
        <v>132</v>
      </c>
      <c r="B12" s="11" t="s">
        <v>76</v>
      </c>
      <c r="C12" s="12" t="s">
        <v>133</v>
      </c>
      <c r="D12" s="11" t="s">
        <v>116</v>
      </c>
      <c r="E12" s="11" t="s">
        <v>134</v>
      </c>
      <c r="F12" s="11" t="s">
        <v>113</v>
      </c>
      <c r="G12" s="11"/>
      <c r="H12" s="11" t="s">
        <v>126</v>
      </c>
    </row>
    <row r="13" spans="1:8" ht="22" customHeight="1" x14ac:dyDescent="0.35">
      <c r="A13" s="7" t="s">
        <v>135</v>
      </c>
      <c r="B13" s="7" t="s">
        <v>25</v>
      </c>
      <c r="C13" s="10" t="s">
        <v>136</v>
      </c>
      <c r="D13" s="7" t="s">
        <v>137</v>
      </c>
      <c r="E13" s="7" t="s">
        <v>134</v>
      </c>
      <c r="F13" s="7" t="s">
        <v>122</v>
      </c>
      <c r="G13" s="7"/>
      <c r="H13" s="11" t="s">
        <v>126</v>
      </c>
    </row>
    <row r="14" spans="1:8" ht="22" customHeight="1" x14ac:dyDescent="0.35">
      <c r="A14" s="11" t="s">
        <v>138</v>
      </c>
      <c r="B14" s="11" t="s">
        <v>139</v>
      </c>
      <c r="C14" s="12" t="s">
        <v>140</v>
      </c>
      <c r="D14" s="11" t="s">
        <v>137</v>
      </c>
      <c r="E14" s="11" t="s">
        <v>134</v>
      </c>
      <c r="F14" s="11" t="s">
        <v>108</v>
      </c>
      <c r="G14" s="11"/>
      <c r="H14" s="11" t="s">
        <v>126</v>
      </c>
    </row>
    <row r="15" spans="1:8" x14ac:dyDescent="0.35">
      <c r="A15" s="13" t="s">
        <v>141</v>
      </c>
      <c r="B15" s="14"/>
      <c r="C15" s="14"/>
      <c r="D15" s="14"/>
      <c r="E15" s="14"/>
      <c r="F15" s="15">
        <f>SUM(F5:F14)</f>
        <v>0</v>
      </c>
      <c r="G15" s="15">
        <f>SUM(G5:G14)</f>
        <v>0</v>
      </c>
      <c r="H15" s="14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4" topLeftCell="A5" activePane="bottomLeft" state="frozen"/>
      <selection pane="bottomLeft" sqref="A1:I1"/>
    </sheetView>
  </sheetViews>
  <sheetFormatPr defaultRowHeight="14.5" x14ac:dyDescent="0.35"/>
  <cols>
    <col min="1" max="1" width="14" customWidth="1"/>
    <col min="2" max="2" width="18" customWidth="1"/>
    <col min="3" max="3" width="22" customWidth="1"/>
    <col min="4" max="6" width="14" customWidth="1"/>
    <col min="7" max="7" width="12" customWidth="1"/>
    <col min="8" max="9" width="14" customWidth="1"/>
  </cols>
  <sheetData>
    <row r="1" spans="1:9" ht="36" customHeight="1" x14ac:dyDescent="0.35">
      <c r="A1" s="20" t="s">
        <v>142</v>
      </c>
      <c r="B1" s="19"/>
      <c r="C1" s="19"/>
      <c r="D1" s="19"/>
      <c r="E1" s="19"/>
      <c r="F1" s="19"/>
      <c r="G1" s="19"/>
      <c r="H1" s="19"/>
      <c r="I1" s="19"/>
    </row>
    <row r="2" spans="1:9" ht="20" customHeight="1" x14ac:dyDescent="0.35">
      <c r="A2" s="18" t="s">
        <v>143</v>
      </c>
      <c r="B2" s="19"/>
      <c r="C2" s="19"/>
      <c r="D2" s="19"/>
      <c r="E2" s="19"/>
      <c r="F2" s="19"/>
      <c r="G2" s="19"/>
      <c r="H2" s="19"/>
      <c r="I2" s="19"/>
    </row>
    <row r="3" spans="1:9" ht="8" customHeight="1" x14ac:dyDescent="0.35"/>
    <row r="4" spans="1:9" ht="28" customHeight="1" x14ac:dyDescent="0.35">
      <c r="A4" s="1" t="s">
        <v>144</v>
      </c>
      <c r="B4" s="1" t="s">
        <v>98</v>
      </c>
      <c r="C4" s="1" t="s">
        <v>145</v>
      </c>
      <c r="D4" s="1" t="s">
        <v>146</v>
      </c>
      <c r="E4" s="1" t="s">
        <v>101</v>
      </c>
      <c r="F4" s="1" t="s">
        <v>147</v>
      </c>
      <c r="G4" s="1" t="s">
        <v>148</v>
      </c>
      <c r="H4" s="1" t="s">
        <v>149</v>
      </c>
      <c r="I4" s="1" t="s">
        <v>11</v>
      </c>
    </row>
    <row r="5" spans="1:9" ht="22" customHeight="1" x14ac:dyDescent="0.35">
      <c r="A5" s="2" t="s">
        <v>150</v>
      </c>
      <c r="B5" s="2" t="s">
        <v>14</v>
      </c>
      <c r="C5" s="2" t="s">
        <v>151</v>
      </c>
      <c r="D5" s="2" t="s">
        <v>152</v>
      </c>
      <c r="E5" s="2" t="s">
        <v>153</v>
      </c>
      <c r="F5" s="7" t="s">
        <v>19</v>
      </c>
      <c r="G5" s="7" t="s">
        <v>19</v>
      </c>
      <c r="H5" s="7" t="s">
        <v>154</v>
      </c>
      <c r="I5" s="3" t="s">
        <v>155</v>
      </c>
    </row>
    <row r="6" spans="1:9" ht="22" customHeight="1" x14ac:dyDescent="0.35">
      <c r="A6" s="4" t="s">
        <v>156</v>
      </c>
      <c r="B6" s="4" t="s">
        <v>25</v>
      </c>
      <c r="C6" s="4" t="s">
        <v>157</v>
      </c>
      <c r="D6" s="4" t="s">
        <v>152</v>
      </c>
      <c r="E6" s="4" t="s">
        <v>153</v>
      </c>
      <c r="F6" s="11" t="s">
        <v>30</v>
      </c>
      <c r="G6" s="11" t="s">
        <v>30</v>
      </c>
      <c r="H6" s="11" t="s">
        <v>154</v>
      </c>
      <c r="I6" s="3" t="s">
        <v>155</v>
      </c>
    </row>
    <row r="7" spans="1:9" ht="22" customHeight="1" x14ac:dyDescent="0.35">
      <c r="A7" s="2" t="s">
        <v>158</v>
      </c>
      <c r="B7" s="2" t="s">
        <v>35</v>
      </c>
      <c r="C7" s="2" t="s">
        <v>159</v>
      </c>
      <c r="D7" s="2" t="s">
        <v>152</v>
      </c>
      <c r="E7" s="2" t="s">
        <v>153</v>
      </c>
      <c r="F7" s="7" t="s">
        <v>40</v>
      </c>
      <c r="G7" s="7" t="s">
        <v>40</v>
      </c>
      <c r="H7" s="7" t="s">
        <v>154</v>
      </c>
      <c r="I7" s="3" t="s">
        <v>155</v>
      </c>
    </row>
    <row r="8" spans="1:9" ht="22" customHeight="1" x14ac:dyDescent="0.35">
      <c r="A8" s="4" t="s">
        <v>160</v>
      </c>
      <c r="B8" s="4" t="s">
        <v>45</v>
      </c>
      <c r="C8" s="4" t="s">
        <v>161</v>
      </c>
      <c r="D8" s="4" t="s">
        <v>152</v>
      </c>
      <c r="E8" s="4" t="s">
        <v>153</v>
      </c>
      <c r="F8" s="11" t="s">
        <v>50</v>
      </c>
      <c r="G8" s="11" t="s">
        <v>154</v>
      </c>
      <c r="H8" s="11" t="s">
        <v>50</v>
      </c>
      <c r="I8" s="16" t="s">
        <v>162</v>
      </c>
    </row>
    <row r="9" spans="1:9" ht="22" customHeight="1" x14ac:dyDescent="0.35">
      <c r="A9" s="2" t="s">
        <v>163</v>
      </c>
      <c r="B9" s="2" t="s">
        <v>56</v>
      </c>
      <c r="C9" s="2" t="s">
        <v>164</v>
      </c>
      <c r="D9" s="2" t="s">
        <v>152</v>
      </c>
      <c r="E9" s="2" t="s">
        <v>153</v>
      </c>
      <c r="F9" s="7" t="s">
        <v>61</v>
      </c>
      <c r="G9" s="7" t="s">
        <v>61</v>
      </c>
      <c r="H9" s="7" t="s">
        <v>154</v>
      </c>
      <c r="I9" s="3" t="s">
        <v>155</v>
      </c>
    </row>
    <row r="10" spans="1:9" ht="22" customHeight="1" x14ac:dyDescent="0.35">
      <c r="A10" s="4" t="s">
        <v>165</v>
      </c>
      <c r="B10" s="4" t="s">
        <v>66</v>
      </c>
      <c r="C10" s="4" t="s">
        <v>166</v>
      </c>
      <c r="D10" s="4" t="s">
        <v>152</v>
      </c>
      <c r="E10" s="4" t="s">
        <v>153</v>
      </c>
      <c r="F10" s="11" t="s">
        <v>71</v>
      </c>
      <c r="G10" s="11" t="s">
        <v>50</v>
      </c>
      <c r="H10" s="11" t="s">
        <v>50</v>
      </c>
      <c r="I10" s="6" t="s">
        <v>167</v>
      </c>
    </row>
    <row r="11" spans="1:9" ht="22" customHeight="1" x14ac:dyDescent="0.35">
      <c r="A11" s="2" t="s">
        <v>168</v>
      </c>
      <c r="B11" s="2" t="s">
        <v>14</v>
      </c>
      <c r="C11" s="2" t="s">
        <v>169</v>
      </c>
      <c r="D11" s="2" t="s">
        <v>170</v>
      </c>
      <c r="E11" s="2" t="s">
        <v>82</v>
      </c>
      <c r="F11" s="7" t="s">
        <v>19</v>
      </c>
      <c r="G11" s="7" t="s">
        <v>154</v>
      </c>
      <c r="H11" s="7" t="s">
        <v>19</v>
      </c>
      <c r="I11" s="11" t="s">
        <v>171</v>
      </c>
    </row>
    <row r="12" spans="1:9" ht="22" customHeight="1" x14ac:dyDescent="0.35">
      <c r="A12" s="4" t="s">
        <v>172</v>
      </c>
      <c r="B12" s="4" t="s">
        <v>35</v>
      </c>
      <c r="C12" s="4" t="s">
        <v>173</v>
      </c>
      <c r="D12" s="4" t="s">
        <v>170</v>
      </c>
      <c r="E12" s="4" t="s">
        <v>82</v>
      </c>
      <c r="F12" s="11" t="s">
        <v>40</v>
      </c>
      <c r="G12" s="11" t="s">
        <v>154</v>
      </c>
      <c r="H12" s="11" t="s">
        <v>40</v>
      </c>
      <c r="I12" s="11" t="s">
        <v>171</v>
      </c>
    </row>
    <row r="13" spans="1:9" ht="22" customHeight="1" x14ac:dyDescent="0.35">
      <c r="A13" s="2" t="s">
        <v>174</v>
      </c>
      <c r="B13" s="2" t="s">
        <v>76</v>
      </c>
      <c r="C13" s="2" t="s">
        <v>175</v>
      </c>
      <c r="D13" s="2" t="s">
        <v>170</v>
      </c>
      <c r="E13" s="2" t="s">
        <v>82</v>
      </c>
      <c r="F13" s="7" t="s">
        <v>90</v>
      </c>
      <c r="G13" s="7" t="s">
        <v>154</v>
      </c>
      <c r="H13" s="7" t="s">
        <v>90</v>
      </c>
      <c r="I13" s="11" t="s">
        <v>171</v>
      </c>
    </row>
    <row r="14" spans="1:9" x14ac:dyDescent="0.35">
      <c r="A14" s="13" t="s">
        <v>141</v>
      </c>
      <c r="B14" s="17"/>
      <c r="C14" s="17"/>
      <c r="D14" s="17"/>
      <c r="E14" s="15" t="s">
        <v>176</v>
      </c>
      <c r="F14" s="15" t="s">
        <v>177</v>
      </c>
      <c r="G14" s="15" t="s">
        <v>178</v>
      </c>
      <c r="H14" s="15" t="s">
        <v>179</v>
      </c>
      <c r="I14" s="17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 Tracker</vt:lpstr>
      <vt:lpstr>Task Tracker</vt:lpstr>
      <vt:lpstr>Invoice Tracker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2026-07-31T09:02:11Z</dcterms:created>
  <dcterms:modified xsi:type="dcterms:W3CDTF">2026-07-31T09:19:28Z</dcterms:modified>
</cp:coreProperties>
</file>